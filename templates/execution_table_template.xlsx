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0;[Red]\(0\);\-"/>
    <numFmt numFmtId="166" formatCode="0.0%"/>
    <numFmt numFmtId="167" formatCode="0.00_);[Red]▲0.00_)"/>
    <numFmt numFmtId="168" formatCode="#,##0_);[Red]▲#,##0"/>
    <numFmt numFmtId="169" formatCode="0;[Red]▲0;-"/>
  </numFmts>
  <fonts count="7">
    <font>
      <name val="游ゴシック"/>
      <color theme="1"/>
      <sz val="12"/>
    </font>
    <font>
      <name val="游ゴシック"/>
      <color theme="1"/>
      <sz val="14"/>
    </font>
    <font>
      <name val="游ゴシック"/>
      <color theme="1"/>
      <sz val="12"/>
    </font>
    <font>
      <name val="游ゴシック"/>
      <color theme="1"/>
      <sz val="12"/>
    </font>
    <font>
      <name val="游ゴシック"/>
      <color theme="1"/>
      <sz val="13"/>
    </font>
    <font>
      <name val="游ゴシック"/>
      <b val="1"/>
      <color theme="1"/>
      <sz val="14"/>
    </font>
    <font>
      <name val="游ゴシック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CCFFCC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3" fillId="0" borderId="1" applyAlignment="1">
      <alignment vertical="center"/>
    </xf>
    <xf numFmtId="38" fontId="3" fillId="0" borderId="1" applyAlignment="1">
      <alignment vertical="center"/>
    </xf>
    <xf numFmtId="9" fontId="3" fillId="0" borderId="1" applyAlignment="1">
      <alignment vertical="center"/>
    </xf>
  </cellStyleXfs>
  <cellXfs count="18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8" applyAlignment="1" pivotButton="0" quotePrefix="0" xfId="0">
      <alignment horizontal="right" vertical="center"/>
    </xf>
    <xf numFmtId="10" fontId="5" fillId="0" borderId="8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right" vertical="center"/>
    </xf>
    <xf numFmtId="0" fontId="4" fillId="0" borderId="15" applyAlignment="1" pivotButton="0" quotePrefix="0" xfId="0">
      <alignment horizontal="left" vertical="center"/>
    </xf>
    <xf numFmtId="0" fontId="1" fillId="0" borderId="16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0" fillId="0" borderId="6" pivotButton="0" quotePrefix="0" xfId="0"/>
    <xf numFmtId="10" fontId="1" fillId="0" borderId="7" applyAlignment="1" pivotButton="0" quotePrefix="0" xfId="0">
      <alignment vertical="center"/>
    </xf>
    <xf numFmtId="10" fontId="1" fillId="0" borderId="22" applyAlignment="1" pivotButton="0" quotePrefix="0" xfId="0">
      <alignment vertical="center"/>
    </xf>
    <xf numFmtId="38" fontId="2" fillId="2" borderId="39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23" pivotButton="0" quotePrefix="0" xfId="0"/>
    <xf numFmtId="38" fontId="2" fillId="2" borderId="37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4" fillId="0" borderId="17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6" pivotButton="0" quotePrefix="0" xfId="0"/>
    <xf numFmtId="0" fontId="4" fillId="0" borderId="3" applyAlignment="1" pivotButton="0" quotePrefix="0" xfId="0">
      <alignment horizontal="left" vertical="top"/>
    </xf>
    <xf numFmtId="0" fontId="0" fillId="0" borderId="8" pivotButton="0" quotePrefix="0" xfId="0"/>
    <xf numFmtId="0" fontId="4" fillId="0" borderId="29" applyAlignment="1" pivotButton="0" quotePrefix="0" xfId="0">
      <alignment horizontal="left" vertical="center"/>
    </xf>
    <xf numFmtId="0" fontId="0" fillId="0" borderId="30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3" pivotButton="0" quotePrefix="0" xfId="0"/>
    <xf numFmtId="0" fontId="4" fillId="0" borderId="8" applyAlignment="1" pivotButton="0" quotePrefix="0" xfId="0">
      <alignment horizontal="left" vertical="center"/>
    </xf>
    <xf numFmtId="0" fontId="5" fillId="0" borderId="8" applyAlignment="1" pivotButton="0" quotePrefix="0" xfId="0">
      <alignment horizontal="center" vertical="center"/>
    </xf>
    <xf numFmtId="38" fontId="2" fillId="2" borderId="38" applyAlignment="1" pivotButton="0" quotePrefix="0" xfId="1">
      <alignment horizontal="center" vertical="center"/>
    </xf>
    <xf numFmtId="0" fontId="0" fillId="0" borderId="19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1" fillId="0" borderId="33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0" fillId="0" borderId="15" pivotButton="0" quotePrefix="0" xfId="0"/>
    <xf numFmtId="0" fontId="2" fillId="2" borderId="35" applyAlignment="1" pivotButton="0" quotePrefix="0" xfId="0">
      <alignment horizontal="center" vertical="center"/>
    </xf>
    <xf numFmtId="14" fontId="1" fillId="0" borderId="35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3" applyAlignment="1" pivotButton="0" quotePrefix="0" xfId="0">
      <alignment horizontal="left" vertical="center"/>
    </xf>
    <xf numFmtId="0" fontId="1" fillId="0" borderId="36" applyAlignment="1" pivotButton="0" quotePrefix="0" xfId="0">
      <alignment horizontal="center" vertical="center"/>
    </xf>
    <xf numFmtId="164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8" pivotButton="0" quotePrefix="0" xfId="0"/>
    <xf numFmtId="1" fontId="5" fillId="0" borderId="8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40" applyAlignment="1" pivotButton="0" quotePrefix="0" xfId="0">
      <alignment vertical="center"/>
    </xf>
    <xf numFmtId="165" fontId="1" fillId="0" borderId="41" applyAlignment="1" pivotButton="0" quotePrefix="0" xfId="0">
      <alignment vertical="center"/>
    </xf>
    <xf numFmtId="10" fontId="1" fillId="0" borderId="43" applyAlignment="1" pivotButton="0" quotePrefix="0" xfId="0">
      <alignment vertical="center"/>
    </xf>
    <xf numFmtId="165" fontId="1" fillId="0" borderId="10" applyAlignment="1" pivotButton="0" quotePrefix="0" xfId="0">
      <alignment horizontal="left" vertical="center"/>
    </xf>
    <xf numFmtId="165" fontId="1" fillId="0" borderId="21" applyAlignment="1" pivotButton="0" quotePrefix="0" xfId="0">
      <alignment horizontal="left" vertical="center"/>
    </xf>
    <xf numFmtId="165" fontId="1" fillId="0" borderId="15" applyAlignment="1" pivotButton="0" quotePrefix="0" xfId="0">
      <alignment horizontal="left" vertical="center"/>
    </xf>
    <xf numFmtId="165" fontId="1" fillId="0" borderId="42" applyAlignment="1" pivotButton="0" quotePrefix="0" xfId="0">
      <alignment horizontal="right" vertical="center"/>
    </xf>
    <xf numFmtId="165" fontId="1" fillId="0" borderId="22" applyAlignment="1" pivotButton="0" quotePrefix="0" xfId="0">
      <alignment horizontal="left" vertical="center"/>
    </xf>
    <xf numFmtId="10" fontId="0" fillId="0" borderId="1" applyAlignment="1" pivotButton="0" quotePrefix="0" xfId="0">
      <alignment vertical="center"/>
    </xf>
    <xf numFmtId="165" fontId="1" fillId="0" borderId="17" applyAlignment="1" pivotButton="0" quotePrefix="0" xfId="0">
      <alignment horizontal="left" vertical="center"/>
    </xf>
    <xf numFmtId="165" fontId="1" fillId="0" borderId="6" applyAlignment="1" pivotButton="0" quotePrefix="0" xfId="0">
      <alignment horizontal="left" vertical="center"/>
    </xf>
    <xf numFmtId="165" fontId="1" fillId="0" borderId="8" applyAlignment="1" pivotButton="0" quotePrefix="0" xfId="0">
      <alignment horizontal="left" vertical="center"/>
    </xf>
    <xf numFmtId="165" fontId="1" fillId="0" borderId="14" applyAlignment="1" pivotButton="0" quotePrefix="0" xfId="0">
      <alignment horizontal="left" vertical="center"/>
    </xf>
    <xf numFmtId="0" fontId="4" fillId="0" borderId="10" applyAlignment="1" pivotButton="0" quotePrefix="0" xfId="0">
      <alignment horizontal="center" vertical="top" wrapText="1"/>
    </xf>
    <xf numFmtId="0" fontId="0" fillId="0" borderId="21" applyAlignment="1" pivotButton="0" quotePrefix="0" xfId="0">
      <alignment wrapText="1"/>
    </xf>
    <xf numFmtId="165" fontId="1" fillId="0" borderId="40" applyAlignment="1" pivotButton="0" quotePrefix="0" xfId="0">
      <alignment horizontal="right" vertical="center"/>
    </xf>
    <xf numFmtId="165" fontId="1" fillId="0" borderId="41" applyAlignment="1" pivotButton="0" quotePrefix="0" xfId="0">
      <alignment horizontal="right" vertical="center"/>
    </xf>
    <xf numFmtId="165" fontId="1" fillId="0" borderId="8" applyAlignment="1" pivotButton="0" quotePrefix="0" xfId="0">
      <alignment vertical="center"/>
    </xf>
    <xf numFmtId="165" fontId="1" fillId="0" borderId="42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38" fontId="1" fillId="0" borderId="1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5" fontId="1" fillId="0" borderId="2" applyAlignment="1" pivotButton="0" quotePrefix="0" xfId="0">
      <alignment vertical="center"/>
    </xf>
    <xf numFmtId="165" fontId="1" fillId="0" borderId="6" applyAlignment="1" pivotButton="0" quotePrefix="0" xfId="0">
      <alignment vertical="center"/>
    </xf>
    <xf numFmtId="165" fontId="1" fillId="0" borderId="26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165" fontId="1" fillId="0" borderId="19" applyAlignment="1" pivotButton="0" quotePrefix="0" xfId="0">
      <alignment vertical="center"/>
    </xf>
    <xf numFmtId="165" fontId="1" fillId="0" borderId="20" applyAlignment="1" pivotButton="0" quotePrefix="0" xfId="0">
      <alignment vertical="center"/>
    </xf>
    <xf numFmtId="165" fontId="1" fillId="0" borderId="4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23" applyAlignment="1" pivotButton="0" quotePrefix="0" xfId="0">
      <alignment vertical="center"/>
    </xf>
    <xf numFmtId="165" fontId="1" fillId="0" borderId="5" applyAlignment="1" pivotButton="0" quotePrefix="0" xfId="0">
      <alignment horizontal="right" vertical="center"/>
    </xf>
    <xf numFmtId="165" fontId="1" fillId="0" borderId="2" applyAlignment="1" pivotButton="0" quotePrefix="0" xfId="0">
      <alignment horizontal="right" vertical="center"/>
    </xf>
    <xf numFmtId="165" fontId="1" fillId="0" borderId="18" applyAlignment="1" pivotButton="0" quotePrefix="0" xfId="0">
      <alignment vertical="center"/>
    </xf>
    <xf numFmtId="165" fontId="1" fillId="0" borderId="3" applyAlignment="1" pivotButton="0" quotePrefix="0" xfId="0">
      <alignment horizontal="right" vertical="center"/>
    </xf>
    <xf numFmtId="165" fontId="1" fillId="0" borderId="17" applyAlignment="1" pivotButton="0" quotePrefix="0" xfId="0">
      <alignment vertical="center"/>
    </xf>
    <xf numFmtId="165" fontId="1" fillId="0" borderId="5" applyAlignment="1" pivotButton="0" quotePrefix="0" xfId="0">
      <alignment vertical="center"/>
    </xf>
    <xf numFmtId="165" fontId="1" fillId="0" borderId="4" applyAlignment="1" pivotButton="0" quotePrefix="0" xfId="0">
      <alignment horizontal="right" vertical="center"/>
    </xf>
    <xf numFmtId="165" fontId="1" fillId="0" borderId="14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/>
    </xf>
    <xf numFmtId="166" fontId="2" fillId="2" borderId="11" applyAlignment="1" pivotButton="0" quotePrefix="0" xfId="2">
      <alignment vertical="center"/>
    </xf>
    <xf numFmtId="166" fontId="2" fillId="2" borderId="10" applyAlignment="1" pivotButton="0" quotePrefix="0" xfId="2">
      <alignment horizontal="left" vertical="center"/>
    </xf>
    <xf numFmtId="0" fontId="2" fillId="2" borderId="11" applyAlignment="1" pivotButton="0" quotePrefix="0" xfId="0">
      <alignment horizontal="center" vertical="center"/>
    </xf>
    <xf numFmtId="166" fontId="2" fillId="2" borderId="6" applyAlignment="1" pivotButton="0" quotePrefix="0" xfId="2">
      <alignment horizontal="left" vertical="center"/>
    </xf>
    <xf numFmtId="166" fontId="2" fillId="2" borderId="8" applyAlignment="1" pivotButton="0" quotePrefix="0" xfId="2">
      <alignment horizontal="left" vertical="center"/>
    </xf>
    <xf numFmtId="0" fontId="2" fillId="2" borderId="12" applyAlignment="1" pivotButton="0" quotePrefix="0" xfId="0">
      <alignment horizontal="center" vertical="center"/>
    </xf>
    <xf numFmtId="166" fontId="2" fillId="2" borderId="14" applyAlignment="1" pivotButton="0" quotePrefix="0" xfId="2">
      <alignment horizontal="left" vertical="center"/>
    </xf>
    <xf numFmtId="166" fontId="1" fillId="0" borderId="1" applyAlignment="1" pivotButton="0" quotePrefix="0" xfId="2">
      <alignment vertical="center"/>
    </xf>
    <xf numFmtId="38" fontId="1" fillId="0" borderId="1" applyAlignment="1" pivotButton="0" quotePrefix="0" xfId="1">
      <alignment vertical="center"/>
    </xf>
    <xf numFmtId="0" fontId="0" fillId="0" borderId="0" pivotButton="0" quotePrefix="0" xfId="0"/>
    <xf numFmtId="164" fontId="5" fillId="0" borderId="8" applyAlignment="1" pivotButton="0" quotePrefix="0" xfId="0">
      <alignment horizontal="center" vertical="center"/>
    </xf>
    <xf numFmtId="165" fontId="1" fillId="0" borderId="2" applyAlignment="1" pivotButton="0" quotePrefix="0" xfId="0">
      <alignment vertical="center"/>
    </xf>
    <xf numFmtId="165" fontId="1" fillId="0" borderId="10" applyAlignment="1" pivotButton="0" quotePrefix="0" xfId="0">
      <alignment horizontal="left" vertical="center"/>
    </xf>
    <xf numFmtId="165" fontId="1" fillId="0" borderId="17" applyAlignment="1" pivotButton="0" quotePrefix="0" xfId="0">
      <alignment horizontal="left" vertical="center"/>
    </xf>
    <xf numFmtId="165" fontId="1" fillId="0" borderId="40" applyAlignment="1" pivotButton="0" quotePrefix="0" xfId="0">
      <alignment vertical="center"/>
    </xf>
    <xf numFmtId="165" fontId="1" fillId="0" borderId="6" applyAlignment="1" pivotButton="0" quotePrefix="0" xfId="0">
      <alignment vertical="center"/>
    </xf>
    <xf numFmtId="165" fontId="1" fillId="0" borderId="26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165" fontId="1" fillId="0" borderId="6" applyAlignment="1" pivotButton="0" quotePrefix="0" xfId="0">
      <alignment horizontal="left" vertical="center"/>
    </xf>
    <xf numFmtId="165" fontId="1" fillId="0" borderId="41" applyAlignment="1" pivotButton="0" quotePrefix="0" xfId="0">
      <alignment vertical="center"/>
    </xf>
    <xf numFmtId="165" fontId="1" fillId="0" borderId="21" applyAlignment="1" pivotButton="0" quotePrefix="0" xfId="0">
      <alignment horizontal="left" vertical="center"/>
    </xf>
    <xf numFmtId="165" fontId="1" fillId="0" borderId="8" applyAlignment="1" pivotButton="0" quotePrefix="0" xfId="0">
      <alignment vertical="center"/>
    </xf>
    <xf numFmtId="165" fontId="1" fillId="0" borderId="19" applyAlignment="1" pivotButton="0" quotePrefix="0" xfId="0">
      <alignment vertical="center"/>
    </xf>
    <xf numFmtId="165" fontId="1" fillId="0" borderId="20" applyAlignment="1" pivotButton="0" quotePrefix="0" xfId="0">
      <alignment vertical="center"/>
    </xf>
    <xf numFmtId="165" fontId="1" fillId="0" borderId="8" applyAlignment="1" pivotButton="0" quotePrefix="0" xfId="0">
      <alignment horizontal="left" vertical="center"/>
    </xf>
    <xf numFmtId="165" fontId="1" fillId="0" borderId="15" applyAlignment="1" pivotButton="0" quotePrefix="0" xfId="0">
      <alignment horizontal="left" vertical="center"/>
    </xf>
    <xf numFmtId="165" fontId="1" fillId="0" borderId="4" applyAlignment="1" pivotButton="0" quotePrefix="0" xfId="0">
      <alignment vertical="center"/>
    </xf>
    <xf numFmtId="165" fontId="1" fillId="0" borderId="14" applyAlignment="1" pivotButton="0" quotePrefix="0" xfId="0">
      <alignment horizontal="left" vertical="center"/>
    </xf>
    <xf numFmtId="165" fontId="1" fillId="0" borderId="42" applyAlignment="1" pivotButton="0" quotePrefix="0" xfId="0">
      <alignment vertical="center"/>
    </xf>
    <xf numFmtId="165" fontId="1" fillId="0" borderId="22" applyAlignment="1" pivotButton="0" quotePrefix="0" xfId="0">
      <alignment horizontal="left" vertical="center"/>
    </xf>
    <xf numFmtId="165" fontId="1" fillId="0" borderId="7" applyAlignment="1" pivotButton="0" quotePrefix="0" xfId="0">
      <alignment vertical="center"/>
    </xf>
    <xf numFmtId="165" fontId="1" fillId="0" borderId="23" applyAlignment="1" pivotButton="0" quotePrefix="0" xfId="0">
      <alignment vertical="center"/>
    </xf>
    <xf numFmtId="165" fontId="1" fillId="0" borderId="5" applyAlignment="1" pivotButton="0" quotePrefix="0" xfId="0">
      <alignment horizontal="right" vertical="center"/>
    </xf>
    <xf numFmtId="165" fontId="1" fillId="0" borderId="2" applyAlignment="1" pivotButton="0" quotePrefix="0" xfId="0">
      <alignment horizontal="right" vertical="center"/>
    </xf>
    <xf numFmtId="165" fontId="1" fillId="0" borderId="40" applyAlignment="1" pivotButton="0" quotePrefix="0" xfId="0">
      <alignment horizontal="right" vertical="center"/>
    </xf>
    <xf numFmtId="165" fontId="1" fillId="0" borderId="18" applyAlignment="1" pivotButton="0" quotePrefix="0" xfId="0">
      <alignment vertical="center"/>
    </xf>
    <xf numFmtId="165" fontId="1" fillId="0" borderId="3" applyAlignment="1" pivotButton="0" quotePrefix="0" xfId="0">
      <alignment horizontal="right" vertical="center"/>
    </xf>
    <xf numFmtId="165" fontId="1" fillId="0" borderId="41" applyAlignment="1" pivotButton="0" quotePrefix="0" xfId="0">
      <alignment horizontal="right" vertical="center"/>
    </xf>
    <xf numFmtId="165" fontId="1" fillId="0" borderId="17" applyAlignment="1" pivotButton="0" quotePrefix="0" xfId="0">
      <alignment vertical="center"/>
    </xf>
    <xf numFmtId="165" fontId="1" fillId="0" borderId="5" applyAlignment="1" pivotButton="0" quotePrefix="0" xfId="0">
      <alignment vertical="center"/>
    </xf>
    <xf numFmtId="165" fontId="1" fillId="0" borderId="4" applyAlignment="1" pivotButton="0" quotePrefix="0" xfId="0">
      <alignment horizontal="right" vertical="center"/>
    </xf>
    <xf numFmtId="165" fontId="1" fillId="0" borderId="42" applyAlignment="1" pivotButton="0" quotePrefix="0" xfId="0">
      <alignment horizontal="right" vertical="center"/>
    </xf>
    <xf numFmtId="165" fontId="1" fillId="0" borderId="14" applyAlignment="1" pivotButton="0" quotePrefix="0" xfId="0">
      <alignment vertical="center"/>
    </xf>
    <xf numFmtId="0" fontId="0" fillId="0" borderId="21" pivotButton="0" quotePrefix="0" xfId="0"/>
    <xf numFmtId="166" fontId="2" fillId="2" borderId="11" applyAlignment="1" pivotButton="0" quotePrefix="0" xfId="2">
      <alignment vertical="center"/>
    </xf>
    <xf numFmtId="166" fontId="2" fillId="2" borderId="10" applyAlignment="1" pivotButton="0" quotePrefix="0" xfId="2">
      <alignment horizontal="left" vertical="center"/>
    </xf>
    <xf numFmtId="166" fontId="2" fillId="2" borderId="6" applyAlignment="1" pivotButton="0" quotePrefix="0" xfId="2">
      <alignment horizontal="left" vertical="center"/>
    </xf>
    <xf numFmtId="166" fontId="2" fillId="2" borderId="8" applyAlignment="1" pivotButton="0" quotePrefix="0" xfId="2">
      <alignment horizontal="left" vertical="center"/>
    </xf>
    <xf numFmtId="166" fontId="2" fillId="2" borderId="14" applyAlignment="1" pivotButton="0" quotePrefix="0" xfId="2">
      <alignment horizontal="left" vertical="center"/>
    </xf>
    <xf numFmtId="166" fontId="1" fillId="0" borderId="1" applyAlignment="1" pivotButton="0" quotePrefix="0" xfId="2">
      <alignment vertical="center"/>
    </xf>
    <xf numFmtId="0" fontId="6" fillId="0" borderId="8" applyAlignment="1" pivotButton="0" quotePrefix="0" xfId="0">
      <alignment horizontal="center" vertical="center" shrinkToFit="1"/>
    </xf>
    <xf numFmtId="167" fontId="5" fillId="0" borderId="8" applyAlignment="1" pivotButton="0" quotePrefix="0" xfId="0">
      <alignment horizontal="center" vertical="center"/>
    </xf>
    <xf numFmtId="168" fontId="1" fillId="0" borderId="1" applyAlignment="1" pivotButton="0" quotePrefix="0" xfId="1">
      <alignment horizontal="center" vertical="center"/>
    </xf>
    <xf numFmtId="169" fontId="1" fillId="0" borderId="2" applyAlignment="1" pivotButton="0" quotePrefix="0" xfId="0">
      <alignment vertical="center"/>
    </xf>
    <xf numFmtId="169" fontId="1" fillId="0" borderId="10" applyAlignment="1" pivotButton="0" quotePrefix="0" xfId="0">
      <alignment horizontal="left" vertical="center"/>
    </xf>
    <xf numFmtId="169" fontId="1" fillId="0" borderId="17" applyAlignment="1" pivotButton="0" quotePrefix="0" xfId="0">
      <alignment horizontal="left" vertical="center"/>
    </xf>
    <xf numFmtId="169" fontId="1" fillId="0" borderId="40" applyAlignment="1" pivotButton="0" quotePrefix="0" xfId="0">
      <alignment vertical="center"/>
    </xf>
    <xf numFmtId="169" fontId="1" fillId="0" borderId="6" applyAlignment="1" pivotButton="0" quotePrefix="0" xfId="0">
      <alignment vertical="center"/>
    </xf>
    <xf numFmtId="169" fontId="1" fillId="0" borderId="26" applyAlignment="1" pivotButton="0" quotePrefix="0" xfId="0">
      <alignment horizontal="center" vertical="center"/>
    </xf>
    <xf numFmtId="169" fontId="1" fillId="0" borderId="3" applyAlignment="1" pivotButton="0" quotePrefix="0" xfId="0">
      <alignment vertical="center"/>
    </xf>
    <xf numFmtId="169" fontId="1" fillId="0" borderId="6" applyAlignment="1" pivotButton="0" quotePrefix="0" xfId="0">
      <alignment horizontal="left" vertical="center"/>
    </xf>
    <xf numFmtId="169" fontId="1" fillId="0" borderId="41" applyAlignment="1" pivotButton="0" quotePrefix="0" xfId="0">
      <alignment vertical="center"/>
    </xf>
    <xf numFmtId="169" fontId="1" fillId="0" borderId="21" applyAlignment="1" pivotButton="0" quotePrefix="0" xfId="0">
      <alignment horizontal="left" vertical="center"/>
    </xf>
    <xf numFmtId="169" fontId="1" fillId="0" borderId="8" applyAlignment="1" pivotButton="0" quotePrefix="0" xfId="0">
      <alignment vertical="center"/>
    </xf>
    <xf numFmtId="169" fontId="1" fillId="0" borderId="19" applyAlignment="1" pivotButton="0" quotePrefix="0" xfId="0">
      <alignment vertical="center"/>
    </xf>
    <xf numFmtId="169" fontId="1" fillId="0" borderId="20" applyAlignment="1" pivotButton="0" quotePrefix="0" xfId="0">
      <alignment vertical="center"/>
    </xf>
    <xf numFmtId="169" fontId="1" fillId="0" borderId="8" applyAlignment="1" pivotButton="0" quotePrefix="0" xfId="0">
      <alignment horizontal="left" vertical="center"/>
    </xf>
    <xf numFmtId="169" fontId="1" fillId="0" borderId="15" applyAlignment="1" pivotButton="0" quotePrefix="0" xfId="0">
      <alignment horizontal="left" vertical="center"/>
    </xf>
    <xf numFmtId="169" fontId="1" fillId="0" borderId="4" applyAlignment="1" pivotButton="0" quotePrefix="0" xfId="0">
      <alignment vertical="center"/>
    </xf>
    <xf numFmtId="169" fontId="1" fillId="0" borderId="14" applyAlignment="1" pivotButton="0" quotePrefix="0" xfId="0">
      <alignment horizontal="left" vertical="center"/>
    </xf>
    <xf numFmtId="169" fontId="1" fillId="0" borderId="42" applyAlignment="1" pivotButton="0" quotePrefix="0" xfId="0">
      <alignment vertical="center"/>
    </xf>
    <xf numFmtId="169" fontId="1" fillId="0" borderId="22" applyAlignment="1" pivotButton="0" quotePrefix="0" xfId="0">
      <alignment horizontal="left" vertical="center"/>
    </xf>
    <xf numFmtId="169" fontId="1" fillId="0" borderId="7" applyAlignment="1" pivotButton="0" quotePrefix="0" xfId="0">
      <alignment vertical="center"/>
    </xf>
    <xf numFmtId="169" fontId="1" fillId="0" borderId="23" applyAlignment="1" pivotButton="0" quotePrefix="0" xfId="0">
      <alignment vertical="center"/>
    </xf>
    <xf numFmtId="169" fontId="1" fillId="0" borderId="5" applyAlignment="1" pivotButton="0" quotePrefix="0" xfId="0">
      <alignment horizontal="right" vertical="center"/>
    </xf>
    <xf numFmtId="169" fontId="1" fillId="0" borderId="2" applyAlignment="1" pivotButton="0" quotePrefix="0" xfId="0">
      <alignment horizontal="right" vertical="center"/>
    </xf>
    <xf numFmtId="169" fontId="1" fillId="0" borderId="40" applyAlignment="1" pivotButton="0" quotePrefix="0" xfId="0">
      <alignment horizontal="right" vertical="center"/>
    </xf>
    <xf numFmtId="169" fontId="1" fillId="0" borderId="18" applyAlignment="1" pivotButton="0" quotePrefix="0" xfId="0">
      <alignment vertical="center"/>
    </xf>
    <xf numFmtId="169" fontId="1" fillId="0" borderId="3" applyAlignment="1" pivotButton="0" quotePrefix="0" xfId="0">
      <alignment horizontal="right" vertical="center"/>
    </xf>
    <xf numFmtId="169" fontId="1" fillId="0" borderId="41" applyAlignment="1" pivotButton="0" quotePrefix="0" xfId="0">
      <alignment horizontal="right" vertical="center"/>
    </xf>
    <xf numFmtId="169" fontId="1" fillId="0" borderId="17" applyAlignment="1" pivotButton="0" quotePrefix="0" xfId="0">
      <alignment vertical="center"/>
    </xf>
    <xf numFmtId="169" fontId="1" fillId="0" borderId="5" applyAlignment="1" pivotButton="0" quotePrefix="0" xfId="0">
      <alignment vertical="center"/>
    </xf>
    <xf numFmtId="169" fontId="1" fillId="0" borderId="4" applyAlignment="1" pivotButton="0" quotePrefix="0" xfId="0">
      <alignment horizontal="right" vertical="center"/>
    </xf>
    <xf numFmtId="169" fontId="1" fillId="0" borderId="42" applyAlignment="1" pivotButton="0" quotePrefix="0" xfId="0">
      <alignment horizontal="right" vertical="center"/>
    </xf>
    <xf numFmtId="169" fontId="1" fillId="0" borderId="14" applyAlignment="1" pivotButton="0" quotePrefix="0" xfId="0">
      <alignment vertical="center"/>
    </xf>
    <xf numFmtId="168" fontId="2" fillId="2" borderId="37" applyAlignment="1" pivotButton="0" quotePrefix="0" xfId="1">
      <alignment horizontal="center" vertical="center"/>
    </xf>
    <xf numFmtId="168" fontId="2" fillId="2" borderId="38" applyAlignment="1" pivotButton="0" quotePrefix="0" xfId="1">
      <alignment horizontal="center" vertical="center"/>
    </xf>
    <xf numFmtId="168" fontId="2" fillId="2" borderId="39" applyAlignment="1" pivotButton="0" quotePrefix="0" xfId="1">
      <alignment horizontal="center" vertical="center"/>
    </xf>
    <xf numFmtId="168" fontId="1" fillId="0" borderId="1" applyAlignment="1" pivotButton="0" quotePrefix="0" xfId="1">
      <alignment vertical="center"/>
    </xf>
  </cellXfs>
  <cellStyles count="3">
    <cellStyle name="標準" xfId="0" builtinId="0"/>
    <cellStyle name="桁区切り" xfId="1"/>
    <cellStyle name="パーセント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tabSelected="1" workbookViewId="0">
      <selection activeCell="C5" sqref="C5:Q8"/>
    </sheetView>
  </sheetViews>
  <sheetFormatPr baseColWidth="8" defaultColWidth="12.77734375" defaultRowHeight="24"/>
  <cols>
    <col width="10.6640625" customWidth="1" style="1" min="1" max="1"/>
    <col width="10.109375" customWidth="1" style="1" min="2" max="2"/>
    <col width="8.21875" customWidth="1" style="1" min="3" max="3"/>
    <col width="2.33203125" customWidth="1" style="1" min="4" max="4"/>
    <col width="8.21875" customWidth="1" style="1" min="5" max="5"/>
    <col width="2.33203125" customWidth="1" style="1" min="6" max="6"/>
    <col width="8.21875" customWidth="1" style="1" min="7" max="7"/>
    <col width="2.33203125" customWidth="1" style="1" min="8" max="8"/>
    <col width="8.21875" customWidth="1" style="1" min="9" max="9"/>
    <col width="2.33203125" customWidth="1" style="1" min="10" max="10"/>
    <col width="8.21875" customWidth="1" style="1" min="11" max="11"/>
    <col width="2.33203125" customWidth="1" style="1" min="12" max="12"/>
    <col width="8.21875" customWidth="1" style="1" min="13" max="13"/>
    <col width="2.33203125" customWidth="1" style="1" min="14" max="14"/>
    <col width="8.21875" customWidth="1" style="1" min="15" max="15"/>
    <col width="2.33203125" customWidth="1" style="1" min="16" max="16"/>
    <col width="15.33203125" customWidth="1" style="1" min="17" max="17"/>
    <col width="14.109375" customWidth="1" style="1" min="18" max="18"/>
    <col width="12.77734375" customWidth="1" style="1" min="19" max="19"/>
    <col width="12.77734375" customWidth="1" style="1" min="20" max="16384"/>
  </cols>
  <sheetData>
    <row r="1" ht="22.5" customHeight="1" s="109">
      <c r="A1" s="10" t="inlineStr">
        <is>
          <t>証券コード</t>
        </is>
      </c>
      <c r="B1" s="11" t="n"/>
      <c r="C1" s="10" t="n"/>
      <c r="D1" s="10" t="n"/>
      <c r="E1" s="10" t="n"/>
      <c r="F1" s="31" t="n"/>
      <c r="G1" s="31" t="n"/>
      <c r="H1" s="31" t="n"/>
      <c r="I1" s="31" t="n"/>
      <c r="J1" s="31" t="n"/>
      <c r="K1" s="31" t="n"/>
      <c r="L1" s="10" t="n"/>
      <c r="M1" s="12" t="n"/>
      <c r="N1" s="12" t="n"/>
      <c r="O1" s="77" t="inlineStr">
        <is>
          <t>月</t>
        </is>
      </c>
      <c r="P1" s="10" t="n"/>
      <c r="Q1" s="2" t="n"/>
      <c r="R1" s="57" t="n"/>
      <c r="S1" s="57" t="n"/>
    </row>
    <row r="2" ht="22.5" customHeight="1" s="109">
      <c r="A2" s="57" t="n"/>
      <c r="B2" s="56" t="n"/>
      <c r="C2" s="7" t="inlineStr">
        <is>
          <t>億</t>
        </is>
      </c>
      <c r="D2" s="8" t="n"/>
      <c r="E2" s="8" t="inlineStr">
        <is>
          <t>PBR</t>
        </is>
      </c>
      <c r="F2" s="39" t="n"/>
      <c r="G2" s="55" t="n"/>
      <c r="H2" s="7" t="inlineStr">
        <is>
          <t>倍</t>
        </is>
      </c>
      <c r="I2" s="8" t="inlineStr">
        <is>
          <t>PER</t>
        </is>
      </c>
      <c r="J2" s="39" t="n"/>
      <c r="K2" s="55" t="n"/>
      <c r="L2" s="7" t="inlineStr">
        <is>
          <t>倍</t>
        </is>
      </c>
      <c r="M2" s="150" t="inlineStr">
        <is>
          <t>配当利回り</t>
        </is>
      </c>
      <c r="N2" s="55" t="n"/>
      <c r="O2" s="151" t="n"/>
      <c r="P2" s="55" t="n"/>
      <c r="Q2" s="9" t="n"/>
      <c r="R2" s="57" t="n"/>
      <c r="S2" s="57" t="n"/>
    </row>
    <row r="3" ht="22.5" customHeight="1" s="109">
      <c r="A3" s="78" t="inlineStr">
        <is>
          <t>株価</t>
        </is>
      </c>
      <c r="B3" s="152" t="n"/>
      <c r="C3" s="57" t="inlineStr">
        <is>
          <t>円</t>
        </is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80" t="n"/>
      <c r="P3" s="57" t="n"/>
      <c r="Q3" s="81" t="n"/>
      <c r="R3" s="57" t="n"/>
      <c r="S3" s="81" t="n"/>
    </row>
    <row r="4" ht="24" customHeight="1" s="109">
      <c r="A4" s="49" t="n"/>
      <c r="B4" s="50" t="n"/>
      <c r="C4" s="36" t="n"/>
      <c r="D4" s="37" t="n"/>
      <c r="E4" s="36" t="n"/>
      <c r="F4" s="37" t="n"/>
      <c r="G4" s="36" t="n"/>
      <c r="H4" s="37" t="n"/>
      <c r="I4" s="36" t="n"/>
      <c r="J4" s="37" t="n"/>
      <c r="K4" s="36" t="n"/>
      <c r="L4" s="37" t="n"/>
      <c r="M4" s="52" t="n"/>
      <c r="N4" s="50" t="n"/>
      <c r="O4" s="45" t="n"/>
      <c r="P4" s="37" t="n"/>
      <c r="Q4" s="19" t="inlineStr">
        <is>
          <t>備考:トピックス</t>
        </is>
      </c>
      <c r="R4" s="57" t="n"/>
      <c r="S4" s="57" t="n"/>
    </row>
    <row r="5" ht="17.25" customHeight="1" s="109">
      <c r="A5" s="42" t="inlineStr">
        <is>
          <t>売上</t>
        </is>
      </c>
      <c r="B5" s="3" t="inlineStr">
        <is>
          <t>第1四半期</t>
        </is>
      </c>
      <c r="C5" s="153" t="n"/>
      <c r="D5" s="154" t="inlineStr">
        <is>
          <t>億</t>
        </is>
      </c>
      <c r="E5" s="153" t="n"/>
      <c r="F5" s="154" t="inlineStr">
        <is>
          <t>億</t>
        </is>
      </c>
      <c r="G5" s="153" t="n"/>
      <c r="H5" s="154" t="inlineStr">
        <is>
          <t>億</t>
        </is>
      </c>
      <c r="I5" s="153" t="n"/>
      <c r="J5" s="154" t="inlineStr">
        <is>
          <t>億</t>
        </is>
      </c>
      <c r="K5" s="153" t="n"/>
      <c r="L5" s="155" t="inlineStr">
        <is>
          <t>億</t>
        </is>
      </c>
      <c r="M5" s="156" t="n"/>
      <c r="N5" s="154" t="inlineStr">
        <is>
          <t>億</t>
        </is>
      </c>
      <c r="O5" s="157" t="n"/>
      <c r="P5" s="157" t="inlineStr">
        <is>
          <t>億</t>
        </is>
      </c>
      <c r="Q5" s="158" t="inlineStr">
        <is>
          <t>売上・経常利益：各決算短信の累計実績（億円）</t>
        </is>
      </c>
      <c r="R5" s="57" t="n"/>
      <c r="S5" s="57" t="n"/>
    </row>
    <row r="6" ht="17.25" customHeight="1" s="109">
      <c r="A6" s="43" t="n"/>
      <c r="B6" s="4" t="inlineStr">
        <is>
          <t>第2四半期</t>
        </is>
      </c>
      <c r="C6" s="159" t="n"/>
      <c r="D6" s="160" t="inlineStr">
        <is>
          <t>億</t>
        </is>
      </c>
      <c r="E6" s="159" t="n"/>
      <c r="F6" s="160" t="inlineStr">
        <is>
          <t>億</t>
        </is>
      </c>
      <c r="G6" s="159" t="n"/>
      <c r="H6" s="160" t="inlineStr">
        <is>
          <t>億</t>
        </is>
      </c>
      <c r="I6" s="159" t="n"/>
      <c r="J6" s="160" t="inlineStr">
        <is>
          <t>億</t>
        </is>
      </c>
      <c r="K6" s="159" t="n"/>
      <c r="L6" s="160" t="inlineStr">
        <is>
          <t>億</t>
        </is>
      </c>
      <c r="M6" s="161" t="n"/>
      <c r="N6" s="162" t="inlineStr">
        <is>
          <t>億</t>
        </is>
      </c>
      <c r="O6" s="163" t="n"/>
      <c r="P6" s="164" t="inlineStr">
        <is>
          <t>億</t>
        </is>
      </c>
      <c r="Q6" s="165" t="inlineStr">
        <is>
          <t>株価：各四半期末の終値（円、休場日は直前営業日）</t>
        </is>
      </c>
      <c r="R6" s="57" t="n"/>
      <c r="S6" s="57" t="n"/>
    </row>
    <row r="7" ht="17.25" customHeight="1" s="109">
      <c r="A7" s="43" t="n"/>
      <c r="B7" s="4" t="inlineStr">
        <is>
          <t>第3四半期</t>
        </is>
      </c>
      <c r="C7" s="159" t="n"/>
      <c r="D7" s="166" t="inlineStr">
        <is>
          <t>億</t>
        </is>
      </c>
      <c r="E7" s="159" t="n"/>
      <c r="F7" s="166" t="inlineStr">
        <is>
          <t>億</t>
        </is>
      </c>
      <c r="G7" s="159" t="n"/>
      <c r="H7" s="166" t="inlineStr">
        <is>
          <t>億</t>
        </is>
      </c>
      <c r="I7" s="159" t="n"/>
      <c r="J7" s="166" t="inlineStr">
        <is>
          <t>億</t>
        </is>
      </c>
      <c r="K7" s="159" t="n"/>
      <c r="L7" s="166" t="inlineStr">
        <is>
          <t>億</t>
        </is>
      </c>
      <c r="M7" s="161" t="n"/>
      <c r="N7" s="167" t="inlineStr">
        <is>
          <t>億</t>
        </is>
      </c>
      <c r="O7" s="159" t="n"/>
      <c r="P7" s="164" t="inlineStr">
        <is>
          <t>億</t>
        </is>
      </c>
      <c r="Q7" s="164" t="inlineStr">
        <is>
          <t>予想年度は会社の通期予想のみ、四半期は未発表</t>
        </is>
      </c>
      <c r="R7" s="57" t="n"/>
      <c r="S7" s="57" t="n"/>
    </row>
    <row r="8" ht="27.6" customHeight="1" s="109">
      <c r="A8" s="44" t="n"/>
      <c r="B8" s="5" t="inlineStr">
        <is>
          <t>決算</t>
        </is>
      </c>
      <c r="C8" s="168" t="n"/>
      <c r="D8" s="169" t="inlineStr">
        <is>
          <t>億</t>
        </is>
      </c>
      <c r="E8" s="168" t="n"/>
      <c r="F8" s="169" t="inlineStr">
        <is>
          <t>億</t>
        </is>
      </c>
      <c r="G8" s="168" t="n"/>
      <c r="H8" s="169" t="inlineStr">
        <is>
          <t>億</t>
        </is>
      </c>
      <c r="I8" s="168" t="n"/>
      <c r="J8" s="169" t="inlineStr">
        <is>
          <t>億</t>
        </is>
      </c>
      <c r="K8" s="168" t="n"/>
      <c r="L8" s="169" t="inlineStr">
        <is>
          <t>億</t>
        </is>
      </c>
      <c r="M8" s="170" t="n"/>
      <c r="N8" s="171" t="inlineStr">
        <is>
          <t>億</t>
        </is>
      </c>
      <c r="O8" s="172" t="n"/>
      <c r="P8" s="165" t="inlineStr">
        <is>
          <t>億</t>
        </is>
      </c>
      <c r="Q8" s="173" t="inlineStr">
        <is>
          <t>業績出典：J-Quants /fins/summary</t>
        </is>
      </c>
      <c r="R8" s="57" t="n"/>
      <c r="S8" s="57" t="n"/>
    </row>
    <row r="9" ht="17.25" customHeight="1" s="109">
      <c r="A9" s="42" t="inlineStr">
        <is>
          <t>経常利益</t>
        </is>
      </c>
      <c r="B9" s="3" t="inlineStr">
        <is>
          <t>第1四半期</t>
        </is>
      </c>
      <c r="C9" s="174" t="n"/>
      <c r="D9" s="154" t="inlineStr">
        <is>
          <t>億</t>
        </is>
      </c>
      <c r="E9" s="175" t="n"/>
      <c r="F9" s="154" t="inlineStr">
        <is>
          <t>億</t>
        </is>
      </c>
      <c r="G9" s="175" t="n"/>
      <c r="H9" s="154" t="inlineStr">
        <is>
          <t>億</t>
        </is>
      </c>
      <c r="I9" s="175" t="n"/>
      <c r="J9" s="154" t="inlineStr">
        <is>
          <t>億</t>
        </is>
      </c>
      <c r="K9" s="175" t="n"/>
      <c r="L9" s="155" t="inlineStr">
        <is>
          <t>億</t>
        </is>
      </c>
      <c r="M9" s="176" t="n"/>
      <c r="N9" s="162" t="inlineStr">
        <is>
          <t>億</t>
        </is>
      </c>
      <c r="O9" s="157" t="n"/>
      <c r="P9" s="177" t="inlineStr">
        <is>
          <t>億</t>
        </is>
      </c>
      <c r="Q9" s="165" t="inlineStr">
        <is>
          <t>株価出典：J-Quants /equities/bars/daily</t>
        </is>
      </c>
      <c r="R9" s="57" t="n"/>
      <c r="S9" s="57" t="n"/>
    </row>
    <row r="10" ht="17.25" customHeight="1" s="109">
      <c r="A10" s="43" t="n"/>
      <c r="B10" s="4" t="inlineStr">
        <is>
          <t>第2四半期</t>
        </is>
      </c>
      <c r="C10" s="178" t="n"/>
      <c r="D10" s="160" t="inlineStr">
        <is>
          <t>億</t>
        </is>
      </c>
      <c r="E10" s="178" t="n"/>
      <c r="F10" s="160" t="inlineStr">
        <is>
          <t>億</t>
        </is>
      </c>
      <c r="G10" s="178" t="n"/>
      <c r="H10" s="160" t="inlineStr">
        <is>
          <t>億</t>
        </is>
      </c>
      <c r="I10" s="178" t="n"/>
      <c r="J10" s="160" t="inlineStr">
        <is>
          <t>億</t>
        </is>
      </c>
      <c r="K10" s="178" t="n"/>
      <c r="L10" s="160" t="inlineStr">
        <is>
          <t>億</t>
        </is>
      </c>
      <c r="M10" s="179" t="n"/>
      <c r="N10" s="162" t="inlineStr">
        <is>
          <t>億</t>
        </is>
      </c>
      <c r="O10" s="163" t="n"/>
      <c r="P10" s="164" t="inlineStr">
        <is>
          <t>億</t>
        </is>
      </c>
      <c r="Q10" s="164" t="n"/>
      <c r="R10" s="57" t="n"/>
      <c r="S10" s="57" t="n"/>
    </row>
    <row r="11" ht="17.25" customHeight="1" s="109">
      <c r="A11" s="43" t="n"/>
      <c r="B11" s="4" t="inlineStr">
        <is>
          <t>第3四半期</t>
        </is>
      </c>
      <c r="C11" s="178" t="n"/>
      <c r="D11" s="166" t="inlineStr">
        <is>
          <t>億</t>
        </is>
      </c>
      <c r="E11" s="178" t="n"/>
      <c r="F11" s="166" t="inlineStr">
        <is>
          <t>億</t>
        </is>
      </c>
      <c r="G11" s="178" t="n"/>
      <c r="H11" s="166" t="inlineStr">
        <is>
          <t>億</t>
        </is>
      </c>
      <c r="I11" s="178" t="n"/>
      <c r="J11" s="166" t="inlineStr">
        <is>
          <t>億</t>
        </is>
      </c>
      <c r="K11" s="178" t="n"/>
      <c r="L11" s="166" t="inlineStr">
        <is>
          <t>億</t>
        </is>
      </c>
      <c r="M11" s="179" t="n"/>
      <c r="N11" s="167" t="inlineStr">
        <is>
          <t>億</t>
        </is>
      </c>
      <c r="O11" s="163" t="n"/>
      <c r="P11" s="164" t="inlineStr">
        <is>
          <t>億</t>
        </is>
      </c>
      <c r="Q11" s="164" t="n"/>
      <c r="R11" s="57" t="n"/>
      <c r="S11" s="57" t="n"/>
    </row>
    <row r="12" ht="27.6" customHeight="1" s="109">
      <c r="A12" s="43" t="n"/>
      <c r="B12" s="4" t="inlineStr">
        <is>
          <t>決算</t>
        </is>
      </c>
      <c r="C12" s="178" t="n"/>
      <c r="D12" s="163" t="inlineStr">
        <is>
          <t>億</t>
        </is>
      </c>
      <c r="E12" s="178" t="n"/>
      <c r="F12" s="163" t="inlineStr">
        <is>
          <t>億</t>
        </is>
      </c>
      <c r="G12" s="159" t="n"/>
      <c r="H12" s="163" t="inlineStr">
        <is>
          <t>億</t>
        </is>
      </c>
      <c r="I12" s="159" t="n"/>
      <c r="J12" s="163" t="inlineStr">
        <is>
          <t>億</t>
        </is>
      </c>
      <c r="K12" s="159" t="n"/>
      <c r="L12" s="163" t="inlineStr">
        <is>
          <t>億</t>
        </is>
      </c>
      <c r="M12" s="161" t="n"/>
      <c r="N12" s="167" t="inlineStr">
        <is>
          <t>億</t>
        </is>
      </c>
      <c r="O12" s="159" t="n"/>
      <c r="P12" s="164" t="inlineStr">
        <is>
          <t>億</t>
        </is>
      </c>
      <c r="Q12" s="164" t="n"/>
      <c r="R12" s="57" t="n"/>
      <c r="S12" s="57" t="n"/>
    </row>
    <row r="13" ht="27.6" customHeight="1" s="109">
      <c r="A13" s="44" t="n"/>
      <c r="B13" s="6" t="inlineStr">
        <is>
          <t>利益率</t>
        </is>
      </c>
      <c r="C13" s="21">
        <f>IFERROR(C12/C8,"")</f>
        <v/>
      </c>
      <c r="D13" s="66" t="n"/>
      <c r="E13" s="21">
        <f>IFERROR(E12/E8,"")</f>
        <v/>
      </c>
      <c r="F13" s="66" t="n"/>
      <c r="G13" s="21">
        <f>IFERROR(G12/G8,"")</f>
        <v/>
      </c>
      <c r="H13" s="66" t="n"/>
      <c r="I13" s="21">
        <f>IFERROR(I12/I8,"")</f>
        <v/>
      </c>
      <c r="J13" s="66" t="n"/>
      <c r="K13" s="21">
        <f>IFERROR(K12/K8,"")</f>
        <v/>
      </c>
      <c r="L13" s="66" t="n"/>
      <c r="M13" s="60">
        <f>IFERROR(M12/M8,"")</f>
        <v/>
      </c>
      <c r="N13" s="22" t="n"/>
      <c r="O13" s="21">
        <f>IFERROR(O12/O8,"")</f>
        <v/>
      </c>
      <c r="P13" s="14" t="n"/>
      <c r="Q13" s="18" t="n"/>
      <c r="R13" s="57" t="n"/>
      <c r="S13" s="57" t="n"/>
    </row>
    <row r="14" ht="17.25" customHeight="1" s="109">
      <c r="A14" s="42" t="inlineStr">
        <is>
          <t>株価</t>
        </is>
      </c>
      <c r="B14" s="3" t="inlineStr">
        <is>
          <t>第1四半期</t>
        </is>
      </c>
      <c r="C14" s="153" t="n"/>
      <c r="D14" s="154" t="inlineStr">
        <is>
          <t>円</t>
        </is>
      </c>
      <c r="E14" s="153" t="n"/>
      <c r="F14" s="154" t="inlineStr">
        <is>
          <t>円</t>
        </is>
      </c>
      <c r="G14" s="153" t="n"/>
      <c r="H14" s="154" t="inlineStr">
        <is>
          <t>円</t>
        </is>
      </c>
      <c r="I14" s="153" t="n"/>
      <c r="J14" s="154" t="inlineStr">
        <is>
          <t>円</t>
        </is>
      </c>
      <c r="K14" s="153" t="n"/>
      <c r="L14" s="155" t="inlineStr">
        <is>
          <t>円</t>
        </is>
      </c>
      <c r="M14" s="156" t="n"/>
      <c r="N14" s="154" t="inlineStr">
        <is>
          <t>円</t>
        </is>
      </c>
      <c r="O14" s="180" t="n"/>
      <c r="P14" s="15" t="inlineStr">
        <is>
          <t>円</t>
        </is>
      </c>
      <c r="Q14" s="15" t="n"/>
      <c r="R14" s="57" t="n"/>
      <c r="S14" s="57" t="n"/>
    </row>
    <row r="15" ht="17.25" customHeight="1" s="109">
      <c r="A15" s="43" t="n"/>
      <c r="B15" s="4" t="inlineStr">
        <is>
          <t>第2四半期</t>
        </is>
      </c>
      <c r="C15" s="159" t="n"/>
      <c r="D15" s="160" t="inlineStr">
        <is>
          <t>円</t>
        </is>
      </c>
      <c r="E15" s="159" t="n"/>
      <c r="F15" s="160" t="inlineStr">
        <is>
          <t>円</t>
        </is>
      </c>
      <c r="G15" s="181" t="n"/>
      <c r="H15" s="160" t="inlineStr">
        <is>
          <t>円</t>
        </is>
      </c>
      <c r="I15" s="181" t="n"/>
      <c r="J15" s="160" t="inlineStr">
        <is>
          <t>円</t>
        </is>
      </c>
      <c r="K15" s="159" t="n"/>
      <c r="L15" s="160" t="inlineStr">
        <is>
          <t>円</t>
        </is>
      </c>
      <c r="M15" s="161" t="n"/>
      <c r="N15" s="162" t="inlineStr">
        <is>
          <t>円</t>
        </is>
      </c>
      <c r="O15" s="163" t="n"/>
      <c r="P15" s="16" t="inlineStr">
        <is>
          <t>円</t>
        </is>
      </c>
      <c r="Q15" s="16" t="n"/>
      <c r="R15" s="57" t="n"/>
      <c r="S15" s="57" t="n"/>
    </row>
    <row r="16" ht="17.25" customHeight="1" s="109">
      <c r="A16" s="43" t="n"/>
      <c r="B16" s="4" t="inlineStr">
        <is>
          <t>第3四半期</t>
        </is>
      </c>
      <c r="C16" s="159" t="n"/>
      <c r="D16" s="166" t="inlineStr">
        <is>
          <t>円</t>
        </is>
      </c>
      <c r="E16" s="159" t="n"/>
      <c r="F16" s="166" t="inlineStr">
        <is>
          <t>円</t>
        </is>
      </c>
      <c r="G16" s="159" t="n"/>
      <c r="H16" s="166" t="inlineStr">
        <is>
          <t>円</t>
        </is>
      </c>
      <c r="I16" s="159" t="n"/>
      <c r="J16" s="166" t="inlineStr">
        <is>
          <t>円</t>
        </is>
      </c>
      <c r="K16" s="159" t="n"/>
      <c r="L16" s="166" t="inlineStr">
        <is>
          <t>円</t>
        </is>
      </c>
      <c r="M16" s="161" t="n"/>
      <c r="N16" s="167" t="inlineStr">
        <is>
          <t>円</t>
        </is>
      </c>
      <c r="O16" s="163" t="n"/>
      <c r="P16" s="16" t="inlineStr">
        <is>
          <t>円</t>
        </is>
      </c>
      <c r="Q16" s="16" t="n"/>
      <c r="R16" s="57" t="n"/>
      <c r="S16" s="57" t="n"/>
    </row>
    <row r="17" ht="27" customHeight="1" s="109">
      <c r="A17" s="44" t="n"/>
      <c r="B17" s="5" t="inlineStr">
        <is>
          <t>決算</t>
        </is>
      </c>
      <c r="C17" s="182" t="n"/>
      <c r="D17" s="169" t="inlineStr">
        <is>
          <t>円</t>
        </is>
      </c>
      <c r="E17" s="182" t="n"/>
      <c r="F17" s="169" t="inlineStr">
        <is>
          <t>円</t>
        </is>
      </c>
      <c r="G17" s="182" t="n"/>
      <c r="H17" s="169" t="inlineStr">
        <is>
          <t>円</t>
        </is>
      </c>
      <c r="I17" s="182" t="n"/>
      <c r="J17" s="169" t="inlineStr">
        <is>
          <t>円</t>
        </is>
      </c>
      <c r="K17" s="182" t="n"/>
      <c r="L17" s="169" t="inlineStr">
        <is>
          <t>円</t>
        </is>
      </c>
      <c r="M17" s="183" t="n"/>
      <c r="N17" s="171" t="inlineStr">
        <is>
          <t>円</t>
        </is>
      </c>
      <c r="O17" s="184" t="n"/>
      <c r="P17" s="17" t="inlineStr">
        <is>
          <t>円</t>
        </is>
      </c>
      <c r="Q17" s="17" t="n"/>
    </row>
    <row r="18" ht="22.15" customHeight="1" s="109">
      <c r="A18" s="71" t="inlineStr">
        <is>
          <t>備考：トピックス</t>
        </is>
      </c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</row>
    <row r="19" ht="83.25" customHeight="1" s="109">
      <c r="A19" s="143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</row>
    <row r="20" ht="21.6" customHeight="1" s="109">
      <c r="A20" s="46" t="inlineStr">
        <is>
          <t>1.悪い所</t>
        </is>
      </c>
      <c r="B20" s="38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</row>
    <row r="21" ht="21.6" customHeight="1" s="109">
      <c r="A21" s="46" t="inlineStr">
        <is>
          <t>2.納品先、取引先</t>
        </is>
      </c>
      <c r="B21" s="47" t="n"/>
      <c r="C21" s="38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</row>
    <row r="22" ht="21.6" customHeight="1" s="109">
      <c r="A22" s="46" t="inlineStr">
        <is>
          <t>3.価格が上下した理由</t>
        </is>
      </c>
      <c r="B22" s="47" t="n"/>
      <c r="C22" s="32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</row>
    <row r="23" ht="21.6" customHeight="1" s="109">
      <c r="A23" s="46" t="inlineStr">
        <is>
          <t>4.将来性</t>
        </is>
      </c>
      <c r="B23" s="51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</row>
    <row r="24" ht="21.6" customHeight="1" s="109">
      <c r="A24" s="46" t="inlineStr">
        <is>
          <t>5.その他</t>
        </is>
      </c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</row>
    <row r="25" ht="24" customHeight="1" s="109">
      <c r="A25" s="57" t="n"/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</row>
    <row r="26" ht="17.25" customHeight="1" s="109">
      <c r="A26" s="48" t="inlineStr">
        <is>
          <t>検算</t>
        </is>
      </c>
      <c r="B26" s="99" t="inlineStr">
        <is>
          <t>第1四半期</t>
        </is>
      </c>
      <c r="C26" s="144">
        <f>SUM(C9/C5)</f>
        <v/>
      </c>
      <c r="D26" s="145" t="n"/>
      <c r="E26" s="144">
        <f>SUM(E9/E5)</f>
        <v/>
      </c>
      <c r="F26" s="145" t="n"/>
      <c r="G26" s="144">
        <f>SUM(G9/G5)</f>
        <v/>
      </c>
      <c r="H26" s="145" t="n"/>
      <c r="I26" s="144">
        <f>SUM(I9/I5)</f>
        <v/>
      </c>
      <c r="J26" s="145" t="n"/>
      <c r="K26" s="144">
        <f>SUM(K9/K5)</f>
        <v/>
      </c>
      <c r="L26" s="145" t="n"/>
      <c r="M26" s="144">
        <f>SUM(M9/M5)</f>
        <v/>
      </c>
      <c r="N26" s="145" t="n"/>
      <c r="O26" s="185" t="n"/>
      <c r="P26" s="27" t="n"/>
      <c r="Q26" s="28" t="n"/>
    </row>
    <row r="27" ht="17.25" customHeight="1" s="109">
      <c r="A27" s="43" t="n"/>
      <c r="B27" s="102" t="inlineStr">
        <is>
          <t>第2四半期</t>
        </is>
      </c>
      <c r="C27" s="144">
        <f>SUM(C10/C6)</f>
        <v/>
      </c>
      <c r="D27" s="146" t="n"/>
      <c r="E27" s="144">
        <f>SUM(E10/E6)</f>
        <v/>
      </c>
      <c r="F27" s="146" t="n"/>
      <c r="G27" s="144">
        <f>SUM(G10/G6)</f>
        <v/>
      </c>
      <c r="H27" s="146" t="n"/>
      <c r="I27" s="144">
        <f>SUM(I10/I6)</f>
        <v/>
      </c>
      <c r="J27" s="146" t="n"/>
      <c r="K27" s="144">
        <f>SUM(K10/K6)</f>
        <v/>
      </c>
      <c r="L27" s="146" t="n"/>
      <c r="M27" s="144">
        <f>SUM(M10/M6)</f>
        <v/>
      </c>
      <c r="N27" s="146" t="n"/>
      <c r="O27" s="186" t="n"/>
      <c r="P27" s="55" t="n"/>
      <c r="Q27" s="41" t="n"/>
    </row>
    <row r="28" ht="17.25" customHeight="1" s="109">
      <c r="A28" s="43" t="n"/>
      <c r="B28" s="102" t="inlineStr">
        <is>
          <t>第3四半期</t>
        </is>
      </c>
      <c r="C28" s="144">
        <f>SUM(C11/C7)</f>
        <v/>
      </c>
      <c r="D28" s="147" t="n"/>
      <c r="E28" s="144">
        <f>SUM(E11/E7)</f>
        <v/>
      </c>
      <c r="F28" s="147" t="n"/>
      <c r="G28" s="144">
        <f>SUM(G11/G7)</f>
        <v/>
      </c>
      <c r="H28" s="147" t="n"/>
      <c r="I28" s="144">
        <f>SUM(I11/I7)</f>
        <v/>
      </c>
      <c r="J28" s="147" t="n"/>
      <c r="K28" s="144">
        <f>SUM(K11/K7)</f>
        <v/>
      </c>
      <c r="L28" s="147" t="n"/>
      <c r="M28" s="144">
        <f>SUM(M11/M7)</f>
        <v/>
      </c>
      <c r="N28" s="147" t="n"/>
      <c r="O28" s="186" t="n"/>
      <c r="P28" s="55" t="n"/>
      <c r="Q28" s="41" t="n"/>
    </row>
    <row r="29" ht="27.6" customHeight="1" s="109">
      <c r="A29" s="44" t="n"/>
      <c r="B29" s="105" t="inlineStr">
        <is>
          <t>決算</t>
        </is>
      </c>
      <c r="C29" s="144">
        <f>SUM(C12/C8)</f>
        <v/>
      </c>
      <c r="D29" s="148" t="n"/>
      <c r="E29" s="144">
        <f>SUM(E12/E8)</f>
        <v/>
      </c>
      <c r="F29" s="148" t="n"/>
      <c r="G29" s="144">
        <f>SUM(G12/G8)</f>
        <v/>
      </c>
      <c r="H29" s="148" t="n"/>
      <c r="I29" s="144">
        <f>SUM(I12/I8)</f>
        <v/>
      </c>
      <c r="J29" s="148" t="n"/>
      <c r="K29" s="144">
        <f>SUM(K12/K8)</f>
        <v/>
      </c>
      <c r="L29" s="148" t="n"/>
      <c r="M29" s="144">
        <f>SUM(M12/M8)</f>
        <v/>
      </c>
      <c r="N29" s="148" t="n"/>
      <c r="O29" s="187" t="n"/>
      <c r="P29" s="24" t="n"/>
      <c r="Q29" s="25" t="n"/>
    </row>
    <row r="30" ht="24" customHeight="1" s="109">
      <c r="A30" s="57" t="n"/>
      <c r="B30" s="57" t="n"/>
      <c r="C30" s="149" t="n"/>
      <c r="D30" s="149" t="n"/>
      <c r="E30" s="149" t="n"/>
      <c r="F30" s="149" t="n"/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88" t="n"/>
      <c r="P30" s="188" t="n"/>
      <c r="Q30" s="188" t="n"/>
    </row>
    <row r="31" ht="24" customHeight="1" s="109">
      <c r="A31" s="57" t="n"/>
      <c r="B31" s="57" t="n"/>
      <c r="C31" s="149" t="n"/>
      <c r="D31" s="149" t="n"/>
      <c r="E31" s="149" t="n"/>
      <c r="F31" s="149" t="n"/>
      <c r="G31" s="149" t="n"/>
      <c r="H31" s="149" t="n"/>
      <c r="I31" s="149" t="n"/>
      <c r="J31" s="149" t="n"/>
      <c r="K31" s="149" t="n"/>
      <c r="L31" s="149" t="n"/>
      <c r="M31" s="149" t="n"/>
      <c r="N31" s="149" t="n"/>
      <c r="O31" s="57" t="n"/>
      <c r="P31" s="57" t="n"/>
      <c r="Q31" s="57" t="n"/>
    </row>
  </sheetData>
  <mergeCells count="29">
    <mergeCell ref="O29:Q29"/>
    <mergeCell ref="O26:Q26"/>
    <mergeCell ref="B18:Q19"/>
    <mergeCell ref="C22:Q22"/>
    <mergeCell ref="B24:Q24"/>
    <mergeCell ref="C4:D4"/>
    <mergeCell ref="B20:Q20"/>
    <mergeCell ref="C21:Q21"/>
    <mergeCell ref="E4:F4"/>
    <mergeCell ref="M2:N2"/>
    <mergeCell ref="O27:Q27"/>
    <mergeCell ref="A9:A13"/>
    <mergeCell ref="O4:P4"/>
    <mergeCell ref="A18:A19"/>
    <mergeCell ref="F2:G2"/>
    <mergeCell ref="A21:B21"/>
    <mergeCell ref="A26:A29"/>
    <mergeCell ref="A14:A17"/>
    <mergeCell ref="A5:A8"/>
    <mergeCell ref="A22:B22"/>
    <mergeCell ref="O28:Q28"/>
    <mergeCell ref="A4:B4"/>
    <mergeCell ref="G4:H4"/>
    <mergeCell ref="O2:P2"/>
    <mergeCell ref="I4:J4"/>
    <mergeCell ref="B23:Q23"/>
    <mergeCell ref="J2:K2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2026-07-29T04:05:47Z</dcterms:created>
  <dcterms:modified xmlns:dcterms="http://purl.org/dc/terms/" xmlns:xsi="http://www.w3.org/2001/XMLSchema-instance" xsi:type="dcterms:W3CDTF">2026-07-31T03:09:48Z</dcterms:modified>
</cp:coreProperties>
</file>